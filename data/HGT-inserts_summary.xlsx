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kyleewart/Documents/PostDoc/HGT_pipeline/data/"/>
    </mc:Choice>
  </mc:AlternateContent>
  <xr:revisionPtr revIDLastSave="0" documentId="13_ncr:1_{00C9D54E-FD1F-084C-A4BD-30EBD59F8B2A}" xr6:coauthVersionLast="36" xr6:coauthVersionMax="47" xr10:uidLastSave="{00000000-0000-0000-0000-000000000000}"/>
  <bookViews>
    <workbookView xWindow="8780" yWindow="1600" windowWidth="20620" windowHeight="16380" xr2:uid="{3365DD2C-654A-1041-91AD-AF43EE6D773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5" i="1" l="1"/>
  <c r="Q25" i="1"/>
</calcChain>
</file>

<file path=xl/sharedStrings.xml><?xml version="1.0" encoding="utf-8"?>
<sst xmlns="http://schemas.openxmlformats.org/spreadsheetml/2006/main" count="114" uniqueCount="75">
  <si>
    <t xml:space="preserve">Panesthia cribrata </t>
  </si>
  <si>
    <t xml:space="preserve">Neogeoscapheus hanni </t>
  </si>
  <si>
    <t>Macropanesthia lithgowae</t>
  </si>
  <si>
    <t>Coptotermes formosanus</t>
  </si>
  <si>
    <t>Cryptotermes secundus</t>
  </si>
  <si>
    <t>Panesthia tryoni tegminifera</t>
  </si>
  <si>
    <t>Panesthia tryoni tryoni (Eungella)</t>
  </si>
  <si>
    <t>Periplaneta americana v2</t>
  </si>
  <si>
    <t>Blattella germanica v2</t>
  </si>
  <si>
    <t>Periplaneta americana v3</t>
  </si>
  <si>
    <t>Periplaneta americana v4</t>
  </si>
  <si>
    <t>Periplaneta americana v1</t>
  </si>
  <si>
    <t>Panesthia lata</t>
  </si>
  <si>
    <t>Panesthia sloanei</t>
  </si>
  <si>
    <t>Panesthia tryoni tryoni</t>
  </si>
  <si>
    <t>Panesthia gigantea</t>
  </si>
  <si>
    <t>Neogeoscapheus dahmsi</t>
  </si>
  <si>
    <t>Blattella germanica v1</t>
  </si>
  <si>
    <t>Geoscapheus dilatatus</t>
  </si>
  <si>
    <t>Proc B paper</t>
  </si>
  <si>
    <t>Zootermopsis nevadensis v1</t>
  </si>
  <si>
    <t>InsectBase</t>
  </si>
  <si>
    <t>Zootermopsis nevadensis v2</t>
  </si>
  <si>
    <t>Re-assembled PacBio data (sourced from 'PRJNA1098420')</t>
  </si>
  <si>
    <t>Reticulitermes lucifugus</t>
  </si>
  <si>
    <t>Diploptera punctata</t>
  </si>
  <si>
    <t>1.v1. HGT insert count</t>
  </si>
  <si>
    <t>1.v2. HGT insert count</t>
  </si>
  <si>
    <t>Source</t>
  </si>
  <si>
    <t>Name</t>
  </si>
  <si>
    <t>GenBank</t>
  </si>
  <si>
    <t>CNSA</t>
  </si>
  <si>
    <t>Sent by Kiyoto Maekawa</t>
  </si>
  <si>
    <t>Species/version</t>
  </si>
  <si>
    <t>Znevadensis_20230531.contig</t>
  </si>
  <si>
    <t>Zootermopsis_nevadensis.genome</t>
  </si>
  <si>
    <t>Z4_flye-assembly_polished-it2_filtered</t>
  </si>
  <si>
    <t>Panesthia-cribrata_genome-assembly</t>
  </si>
  <si>
    <t>Reticulitermes_lucifugus.genome</t>
  </si>
  <si>
    <t>Periplaneta_americana.genome</t>
  </si>
  <si>
    <t>Periplaneta-americana_GCA_025594305.2_ASM2559430v2</t>
  </si>
  <si>
    <t>Periplaneta-americana_CNA0019281</t>
  </si>
  <si>
    <t>P-americana_PRJNA1098420_pacbio_prim-assembly</t>
  </si>
  <si>
    <t>Neogeoscapheus-hanni_genome-assembly</t>
  </si>
  <si>
    <t>Geoscapheus-dilatatus_genome-assembly</t>
  </si>
  <si>
    <t>GCA_030220185.1_Dpun_1.1_genomic</t>
  </si>
  <si>
    <t>Cryptotermes_secundus.genome</t>
  </si>
  <si>
    <t>Coptotermes_formosanus.genome</t>
  </si>
  <si>
    <t>Blattella_germanica.genome</t>
  </si>
  <si>
    <t>M1_flye-assembly_run2_polished-it2</t>
  </si>
  <si>
    <t>Z1_flye-assembly_polished-it2_filtered</t>
  </si>
  <si>
    <t>Z5_flye-assembly_polished-it2_filtered</t>
  </si>
  <si>
    <t>Z010_flye_polished_purged_filtered</t>
  </si>
  <si>
    <t>Z011_flye_polished_purged_filtered</t>
  </si>
  <si>
    <t>Z012_flye_polished_purged_filtered</t>
  </si>
  <si>
    <t>Z014_flye_polished_purged_filtered</t>
  </si>
  <si>
    <t>GCA_000762945.2_Bger_2.0_genomic</t>
  </si>
  <si>
    <t>New (this study)</t>
  </si>
  <si>
    <t>2.v1. HGT insert count</t>
  </si>
  <si>
    <t>2.v2. HGT insert count</t>
  </si>
  <si>
    <t>3.v1. HGT insert count</t>
  </si>
  <si>
    <t>3.v2. HGT insert count</t>
  </si>
  <si>
    <t>4.v1. HGT insert count</t>
  </si>
  <si>
    <t>4.v2. HGT insert count</t>
  </si>
  <si>
    <t>5.v1. HGT insert count</t>
  </si>
  <si>
    <t>5.v2. HGT insert count</t>
  </si>
  <si>
    <t>6.v1. HGT insert count</t>
  </si>
  <si>
    <t>6.v2. HGT insert count</t>
  </si>
  <si>
    <t>7.v1. HGT insert count</t>
  </si>
  <si>
    <t>7.v2. HGT insert count</t>
  </si>
  <si>
    <t>7.v3. HGT insert count</t>
  </si>
  <si>
    <t>7.v4. HGT insert count</t>
  </si>
  <si>
    <t>8.v1. HGT insert count</t>
  </si>
  <si>
    <t>8.v2. HGT insert count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</si>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</sst>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1" fillId="4" borderId="1" xfId="0" applyFont="1" applyFill="1" applyBorder="1" applyAlignment="1">
      <alignment horizontal="center"/>
    </xf>
    <xf numFmtId="0" fontId="0" fillId="0" borderId="1" xfId="0" quotePrefix="1" applyBorder="1"/>
    <xf numFmtId="0" fontId="0" fillId="5" borderId="1" xfId="0" applyFill="1" applyBorder="1"/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A815C-EDAC-574C-BA26-EF35C495DFC6}">
  <dimension ref="A1:U25"/>
  <sheetViews>
    <sheetView tabSelected="1" zoomScale="94" zoomScaleNormal="94" workbookViewId="0">
      <pane xSplit="1" topLeftCell="M1" activePane="topRight" state="frozen"/>
      <selection pane="topRight" activeCell="P26" sqref="P26"/>
    </sheetView>
  </sheetViews>
  <sheetFormatPr baseColWidth="10" defaultRowHeight="16"/>
  <cols>
    <col min="1" max="1" width="46" bestFit="1" customWidth="1"/>
    <col min="2" max="2" width="52.33203125" customWidth="1"/>
    <col min="3" max="3" width="51.1640625" bestFit="1" customWidth="1"/>
    <col min="4" max="4" width="28.83203125" customWidth="1"/>
    <col min="5" max="5" width="41.33203125" bestFit="1" customWidth="1"/>
    <col min="6" max="21" width="21.33203125" bestFit="1" customWidth="1"/>
  </cols>
  <sheetData>
    <row r="1" spans="1:21">
      <c r="A1" s="4" t="s">
        <v>33</v>
      </c>
      <c r="B1" s="4" t="s">
        <v>29</v>
      </c>
      <c r="C1" s="4" t="s">
        <v>28</v>
      </c>
      <c r="D1" s="4" t="s">
        <v>26</v>
      </c>
      <c r="E1" s="4" t="s">
        <v>27</v>
      </c>
      <c r="F1" s="4" t="s">
        <v>58</v>
      </c>
      <c r="G1" s="4" t="s">
        <v>59</v>
      </c>
      <c r="H1" s="4" t="s">
        <v>60</v>
      </c>
      <c r="I1" s="4" t="s">
        <v>61</v>
      </c>
      <c r="J1" s="4" t="s">
        <v>62</v>
      </c>
      <c r="K1" s="4" t="s">
        <v>63</v>
      </c>
      <c r="L1" s="4" t="s">
        <v>64</v>
      </c>
      <c r="M1" s="4" t="s">
        <v>65</v>
      </c>
      <c r="N1" s="4" t="s">
        <v>66</v>
      </c>
      <c r="O1" s="4" t="s">
        <v>67</v>
      </c>
      <c r="P1" s="4" t="s">
        <v>68</v>
      </c>
      <c r="Q1" s="4" t="s">
        <v>69</v>
      </c>
      <c r="R1" s="4" t="s">
        <v>70</v>
      </c>
      <c r="S1" s="4" t="s">
        <v>71</v>
      </c>
      <c r="T1" s="4" t="s">
        <v>72</v>
      </c>
      <c r="U1" s="4" t="s">
        <v>73</v>
      </c>
    </row>
    <row r="2" spans="1:21">
      <c r="A2" s="1" t="s">
        <v>12</v>
      </c>
      <c r="B2" s="2" t="s">
        <v>49</v>
      </c>
      <c r="C2" s="2" t="s">
        <v>57</v>
      </c>
      <c r="D2" s="2"/>
      <c r="E2" s="2"/>
      <c r="F2" s="2"/>
      <c r="G2" s="2"/>
      <c r="H2" s="2"/>
      <c r="I2" s="2"/>
      <c r="J2" s="2"/>
      <c r="K2" s="2"/>
      <c r="L2" s="2">
        <v>1618</v>
      </c>
      <c r="M2" s="2">
        <v>1877</v>
      </c>
      <c r="N2" s="2">
        <v>1588</v>
      </c>
      <c r="O2" s="2">
        <v>1849</v>
      </c>
      <c r="P2" s="2">
        <v>1588</v>
      </c>
      <c r="Q2" s="2">
        <v>1575</v>
      </c>
      <c r="R2" s="2">
        <v>1849</v>
      </c>
      <c r="S2" s="2">
        <v>1802</v>
      </c>
      <c r="T2" s="9" t="s">
        <v>74</v>
      </c>
      <c r="U2" s="9" t="s">
        <v>74</v>
      </c>
    </row>
    <row r="3" spans="1:21">
      <c r="A3" s="1" t="s">
        <v>13</v>
      </c>
      <c r="B3" s="2" t="s">
        <v>50</v>
      </c>
      <c r="C3" s="2" t="s">
        <v>57</v>
      </c>
      <c r="D3" s="2"/>
      <c r="E3" s="2"/>
      <c r="F3" s="2"/>
      <c r="G3" s="2"/>
      <c r="H3" s="2"/>
      <c r="I3" s="2"/>
      <c r="J3" s="2"/>
      <c r="K3" s="2"/>
      <c r="L3" s="2">
        <v>2974</v>
      </c>
      <c r="M3" s="2">
        <v>3471</v>
      </c>
      <c r="N3" s="2">
        <v>2920</v>
      </c>
      <c r="O3" s="2">
        <v>3414</v>
      </c>
      <c r="P3" s="2">
        <v>2920</v>
      </c>
      <c r="Q3" s="2">
        <v>2845</v>
      </c>
      <c r="R3" s="2">
        <v>3414</v>
      </c>
      <c r="S3" s="2">
        <v>3283</v>
      </c>
      <c r="T3" s="9" t="s">
        <v>74</v>
      </c>
      <c r="U3" s="9" t="s">
        <v>74</v>
      </c>
    </row>
    <row r="4" spans="1:21">
      <c r="A4" s="1" t="s">
        <v>2</v>
      </c>
      <c r="B4" s="2" t="s">
        <v>36</v>
      </c>
      <c r="C4" s="2" t="s">
        <v>57</v>
      </c>
      <c r="D4" s="2"/>
      <c r="E4" s="2"/>
      <c r="F4" s="2"/>
      <c r="G4" s="2"/>
      <c r="H4" s="2"/>
      <c r="I4" s="2"/>
      <c r="J4" s="2"/>
      <c r="K4" s="2"/>
      <c r="L4" s="2">
        <v>5045</v>
      </c>
      <c r="M4" s="2">
        <v>5923</v>
      </c>
      <c r="N4" s="2">
        <v>4955</v>
      </c>
      <c r="O4" s="2">
        <v>5841</v>
      </c>
      <c r="P4" s="2">
        <v>4955</v>
      </c>
      <c r="Q4" s="2">
        <v>4900</v>
      </c>
      <c r="R4" s="2">
        <v>5841</v>
      </c>
      <c r="S4" s="2">
        <v>5669</v>
      </c>
      <c r="T4" s="2">
        <v>626</v>
      </c>
      <c r="U4" s="2">
        <v>784</v>
      </c>
    </row>
    <row r="5" spans="1:21">
      <c r="A5" s="1" t="s">
        <v>14</v>
      </c>
      <c r="B5" s="2" t="s">
        <v>51</v>
      </c>
      <c r="C5" s="2" t="s">
        <v>57</v>
      </c>
      <c r="D5" s="2"/>
      <c r="E5" s="2"/>
      <c r="F5" s="2"/>
      <c r="G5" s="2"/>
      <c r="H5" s="2"/>
      <c r="I5" s="2"/>
      <c r="J5" s="2"/>
      <c r="K5" s="2"/>
      <c r="L5" s="2">
        <v>4271</v>
      </c>
      <c r="M5" s="2">
        <v>4933</v>
      </c>
      <c r="N5" s="2">
        <v>4193</v>
      </c>
      <c r="O5" s="2">
        <v>4865</v>
      </c>
      <c r="P5" s="2">
        <v>4193</v>
      </c>
      <c r="Q5" s="2">
        <v>4117</v>
      </c>
      <c r="R5" s="2">
        <v>4865</v>
      </c>
      <c r="S5" s="2">
        <v>4680</v>
      </c>
      <c r="T5" s="2">
        <v>536</v>
      </c>
      <c r="U5" s="2">
        <v>641</v>
      </c>
    </row>
    <row r="6" spans="1:21">
      <c r="A6" s="1" t="s">
        <v>15</v>
      </c>
      <c r="B6" s="2" t="s">
        <v>52</v>
      </c>
      <c r="C6" s="2" t="s">
        <v>57</v>
      </c>
      <c r="D6" s="2"/>
      <c r="E6" s="2"/>
      <c r="F6" s="2"/>
      <c r="G6" s="2"/>
      <c r="H6" s="2"/>
      <c r="I6" s="2"/>
      <c r="J6" s="2"/>
      <c r="K6" s="2"/>
      <c r="L6" s="2">
        <v>3880</v>
      </c>
      <c r="M6" s="2">
        <v>4471</v>
      </c>
      <c r="N6" s="2">
        <v>3794</v>
      </c>
      <c r="O6" s="2">
        <v>4378</v>
      </c>
      <c r="P6" s="2">
        <v>3794</v>
      </c>
      <c r="Q6" s="2">
        <v>3766</v>
      </c>
      <c r="R6" s="2">
        <v>4378</v>
      </c>
      <c r="S6" s="2">
        <v>4261</v>
      </c>
      <c r="T6" s="2">
        <v>726</v>
      </c>
      <c r="U6" s="2">
        <v>841</v>
      </c>
    </row>
    <row r="7" spans="1:21">
      <c r="A7" s="1" t="s">
        <v>5</v>
      </c>
      <c r="B7" s="2" t="s">
        <v>53</v>
      </c>
      <c r="C7" s="2" t="s">
        <v>57</v>
      </c>
      <c r="D7" s="2"/>
      <c r="E7" s="2"/>
      <c r="F7" s="2"/>
      <c r="G7" s="2"/>
      <c r="H7" s="2"/>
      <c r="I7" s="2"/>
      <c r="J7" s="2"/>
      <c r="K7" s="2"/>
      <c r="L7" s="2">
        <v>3737</v>
      </c>
      <c r="M7" s="2">
        <v>4315</v>
      </c>
      <c r="N7" s="2">
        <v>3673</v>
      </c>
      <c r="O7" s="2">
        <v>4248</v>
      </c>
      <c r="P7" s="2">
        <v>3673</v>
      </c>
      <c r="Q7" s="2">
        <v>3637</v>
      </c>
      <c r="R7" s="2">
        <v>4248</v>
      </c>
      <c r="S7" s="2">
        <v>4132</v>
      </c>
      <c r="T7" s="2">
        <v>591</v>
      </c>
      <c r="U7" s="2">
        <v>703</v>
      </c>
    </row>
    <row r="8" spans="1:21">
      <c r="A8" s="1" t="s">
        <v>6</v>
      </c>
      <c r="B8" s="2" t="s">
        <v>54</v>
      </c>
      <c r="C8" s="2" t="s">
        <v>57</v>
      </c>
      <c r="D8" s="2"/>
      <c r="E8" s="2"/>
      <c r="F8" s="2"/>
      <c r="G8" s="2"/>
      <c r="H8" s="2"/>
      <c r="I8" s="2"/>
      <c r="J8" s="2"/>
      <c r="K8" s="2"/>
      <c r="L8" s="2">
        <v>4095</v>
      </c>
      <c r="M8" s="2">
        <v>4690</v>
      </c>
      <c r="N8" s="2">
        <v>4031</v>
      </c>
      <c r="O8" s="2">
        <v>4621</v>
      </c>
      <c r="P8" s="2">
        <v>4031</v>
      </c>
      <c r="Q8" s="2">
        <v>3926</v>
      </c>
      <c r="R8" s="2">
        <v>4621</v>
      </c>
      <c r="S8" s="2">
        <v>4492</v>
      </c>
      <c r="T8" s="2">
        <v>464</v>
      </c>
      <c r="U8" s="2">
        <v>593</v>
      </c>
    </row>
    <row r="9" spans="1:21">
      <c r="A9" s="1" t="s">
        <v>16</v>
      </c>
      <c r="B9" s="2" t="s">
        <v>55</v>
      </c>
      <c r="C9" s="2" t="s">
        <v>57</v>
      </c>
      <c r="D9" s="2"/>
      <c r="E9" s="2"/>
      <c r="F9" s="2"/>
      <c r="G9" s="2"/>
      <c r="H9" s="2"/>
      <c r="I9" s="2"/>
      <c r="J9" s="2"/>
      <c r="K9" s="2"/>
      <c r="L9" s="2">
        <v>4705</v>
      </c>
      <c r="M9" s="2">
        <v>5472</v>
      </c>
      <c r="N9" s="2">
        <v>4619</v>
      </c>
      <c r="O9" s="2">
        <v>5389</v>
      </c>
      <c r="P9" s="2">
        <v>4619</v>
      </c>
      <c r="Q9" s="2">
        <v>4561</v>
      </c>
      <c r="R9" s="2">
        <v>5389</v>
      </c>
      <c r="S9" s="2">
        <v>5260</v>
      </c>
      <c r="T9" s="2">
        <v>652</v>
      </c>
      <c r="U9" s="2">
        <v>794</v>
      </c>
    </row>
    <row r="10" spans="1:21">
      <c r="A10" s="1" t="s">
        <v>0</v>
      </c>
      <c r="B10" s="2" t="s">
        <v>37</v>
      </c>
      <c r="C10" s="2" t="s">
        <v>19</v>
      </c>
      <c r="D10" s="2"/>
      <c r="E10" s="2"/>
      <c r="F10" s="2"/>
      <c r="G10" s="2"/>
      <c r="H10" s="2"/>
      <c r="I10" s="2"/>
      <c r="J10" s="2"/>
      <c r="K10" s="2"/>
      <c r="L10" s="2">
        <v>1572</v>
      </c>
      <c r="M10" s="2">
        <v>1856</v>
      </c>
      <c r="N10" s="2">
        <v>1532</v>
      </c>
      <c r="O10" s="2">
        <v>1814</v>
      </c>
      <c r="P10" s="2">
        <v>1532</v>
      </c>
      <c r="Q10" s="2">
        <v>1499</v>
      </c>
      <c r="R10" s="2">
        <v>1814</v>
      </c>
      <c r="S10" s="2">
        <v>1741</v>
      </c>
      <c r="T10" s="9" t="s">
        <v>74</v>
      </c>
      <c r="U10" s="9" t="s">
        <v>74</v>
      </c>
    </row>
    <row r="11" spans="1:21">
      <c r="A11" s="1" t="s">
        <v>1</v>
      </c>
      <c r="B11" s="2" t="s">
        <v>43</v>
      </c>
      <c r="C11" s="2" t="s">
        <v>19</v>
      </c>
      <c r="D11" s="2"/>
      <c r="E11" s="2"/>
      <c r="F11" s="2"/>
      <c r="G11" s="2"/>
      <c r="H11" s="2"/>
      <c r="I11" s="2"/>
      <c r="J11" s="2"/>
      <c r="K11" s="2"/>
      <c r="L11" s="2">
        <v>2798</v>
      </c>
      <c r="M11" s="2">
        <v>3163</v>
      </c>
      <c r="N11" s="2">
        <v>2751</v>
      </c>
      <c r="O11" s="2">
        <v>3120</v>
      </c>
      <c r="P11" s="2">
        <v>2751</v>
      </c>
      <c r="Q11" s="2">
        <v>2705</v>
      </c>
      <c r="R11" s="2">
        <v>3120</v>
      </c>
      <c r="S11" s="2">
        <v>3056</v>
      </c>
      <c r="T11" s="2">
        <v>573</v>
      </c>
      <c r="U11" s="2">
        <v>656</v>
      </c>
    </row>
    <row r="12" spans="1:21">
      <c r="A12" s="1" t="s">
        <v>18</v>
      </c>
      <c r="B12" s="2" t="s">
        <v>44</v>
      </c>
      <c r="C12" s="2" t="s">
        <v>19</v>
      </c>
      <c r="D12" s="2"/>
      <c r="E12" s="2"/>
      <c r="F12" s="2"/>
      <c r="G12" s="2"/>
      <c r="H12" s="2"/>
      <c r="I12" s="2"/>
      <c r="J12" s="2"/>
      <c r="K12" s="2"/>
      <c r="L12" s="2">
        <v>4334</v>
      </c>
      <c r="M12" s="2">
        <v>4903</v>
      </c>
      <c r="N12" s="2">
        <v>4257</v>
      </c>
      <c r="O12" s="2">
        <v>4822</v>
      </c>
      <c r="P12" s="2">
        <v>4257</v>
      </c>
      <c r="Q12" s="2">
        <v>4226</v>
      </c>
      <c r="R12" s="2">
        <v>4822</v>
      </c>
      <c r="S12" s="2">
        <v>4690</v>
      </c>
      <c r="T12" s="2">
        <v>616</v>
      </c>
      <c r="U12" s="2">
        <v>719</v>
      </c>
    </row>
    <row r="13" spans="1:21" ht="17">
      <c r="A13" s="7" t="s">
        <v>25</v>
      </c>
      <c r="B13" s="8" t="s">
        <v>45</v>
      </c>
      <c r="C13" s="8" t="s">
        <v>30</v>
      </c>
      <c r="D13" s="2"/>
      <c r="E13" s="2"/>
      <c r="F13" s="2"/>
      <c r="G13" s="2"/>
      <c r="H13" s="2"/>
      <c r="I13" s="2"/>
      <c r="J13" s="2"/>
      <c r="K13" s="2"/>
      <c r="L13" s="2">
        <v>539</v>
      </c>
      <c r="M13" s="2">
        <v>914</v>
      </c>
      <c r="N13" s="2">
        <v>511</v>
      </c>
      <c r="O13" s="2">
        <v>875</v>
      </c>
      <c r="P13" s="2">
        <v>511</v>
      </c>
      <c r="Q13" s="2">
        <v>506</v>
      </c>
      <c r="R13" s="2">
        <v>875</v>
      </c>
      <c r="S13" s="2">
        <v>839</v>
      </c>
      <c r="T13" s="2">
        <v>19</v>
      </c>
      <c r="U13" s="2">
        <v>37</v>
      </c>
    </row>
    <row r="14" spans="1:21" ht="17">
      <c r="A14" s="6" t="s">
        <v>11</v>
      </c>
      <c r="B14" s="2" t="s">
        <v>40</v>
      </c>
      <c r="C14" s="8" t="s">
        <v>30</v>
      </c>
      <c r="D14" s="2"/>
      <c r="E14" s="2"/>
      <c r="F14" s="2"/>
      <c r="G14" s="2"/>
      <c r="H14" s="2"/>
      <c r="I14" s="2"/>
      <c r="J14" s="2"/>
      <c r="K14" s="2"/>
      <c r="L14" s="2">
        <v>309</v>
      </c>
      <c r="M14" s="2">
        <v>468</v>
      </c>
      <c r="N14" s="2">
        <v>308</v>
      </c>
      <c r="O14" s="2">
        <v>466</v>
      </c>
      <c r="P14" s="2">
        <v>308</v>
      </c>
      <c r="Q14" s="2">
        <v>288</v>
      </c>
      <c r="R14" s="2">
        <v>466</v>
      </c>
      <c r="S14" s="2">
        <v>424</v>
      </c>
      <c r="T14" s="9" t="s">
        <v>74</v>
      </c>
      <c r="U14" s="9" t="s">
        <v>74</v>
      </c>
    </row>
    <row r="15" spans="1:21">
      <c r="A15" s="6" t="s">
        <v>7</v>
      </c>
      <c r="B15" s="2" t="s">
        <v>39</v>
      </c>
      <c r="C15" s="2" t="s">
        <v>21</v>
      </c>
      <c r="D15" s="2"/>
      <c r="E15" s="2"/>
      <c r="F15" s="2"/>
      <c r="G15" s="2"/>
      <c r="H15" s="2"/>
      <c r="I15" s="2"/>
      <c r="J15" s="2"/>
      <c r="K15" s="2"/>
      <c r="L15" s="2">
        <v>121</v>
      </c>
      <c r="M15" s="2">
        <v>278</v>
      </c>
      <c r="N15" s="2">
        <v>101</v>
      </c>
      <c r="O15" s="2">
        <v>246</v>
      </c>
      <c r="P15" s="2">
        <v>101</v>
      </c>
      <c r="Q15" s="2">
        <v>93</v>
      </c>
      <c r="R15" s="2">
        <v>246</v>
      </c>
      <c r="S15" s="2">
        <v>226</v>
      </c>
      <c r="T15" s="9" t="s">
        <v>74</v>
      </c>
      <c r="U15" s="9" t="s">
        <v>74</v>
      </c>
    </row>
    <row r="16" spans="1:21">
      <c r="A16" s="6" t="s">
        <v>9</v>
      </c>
      <c r="B16" s="2" t="s">
        <v>41</v>
      </c>
      <c r="C16" s="2" t="s">
        <v>31</v>
      </c>
      <c r="D16" s="2"/>
      <c r="E16" s="2"/>
      <c r="F16" s="2"/>
      <c r="G16" s="2"/>
      <c r="H16" s="2"/>
      <c r="I16" s="2"/>
      <c r="J16" s="2"/>
      <c r="K16" s="2"/>
      <c r="L16" s="2">
        <v>661</v>
      </c>
      <c r="M16" s="2">
        <v>845</v>
      </c>
      <c r="N16" s="2">
        <v>658</v>
      </c>
      <c r="O16" s="2">
        <v>840</v>
      </c>
      <c r="P16" s="2">
        <v>658</v>
      </c>
      <c r="Q16" s="2">
        <v>644</v>
      </c>
      <c r="R16" s="2">
        <v>840</v>
      </c>
      <c r="S16" s="2">
        <v>793</v>
      </c>
      <c r="T16" s="2">
        <v>2</v>
      </c>
      <c r="U16" s="2">
        <v>5</v>
      </c>
    </row>
    <row r="17" spans="1:21">
      <c r="A17" s="6" t="s">
        <v>10</v>
      </c>
      <c r="B17" s="2" t="s">
        <v>42</v>
      </c>
      <c r="C17" s="2" t="s">
        <v>23</v>
      </c>
      <c r="D17" s="2"/>
      <c r="E17" s="2"/>
      <c r="F17" s="2"/>
      <c r="G17" s="2"/>
      <c r="H17" s="2"/>
      <c r="I17" s="2"/>
      <c r="J17" s="2"/>
      <c r="K17" s="2"/>
      <c r="L17" s="2">
        <v>661</v>
      </c>
      <c r="M17" s="2">
        <v>824</v>
      </c>
      <c r="N17" s="2">
        <v>648</v>
      </c>
      <c r="O17" s="2">
        <v>794</v>
      </c>
      <c r="P17" s="2">
        <v>648</v>
      </c>
      <c r="Q17" s="2">
        <v>639</v>
      </c>
      <c r="R17" s="2">
        <v>794</v>
      </c>
      <c r="S17" s="2">
        <v>781</v>
      </c>
      <c r="T17" s="9" t="s">
        <v>74</v>
      </c>
      <c r="U17" s="9" t="s">
        <v>74</v>
      </c>
    </row>
    <row r="18" spans="1:21">
      <c r="A18" s="6" t="s">
        <v>17</v>
      </c>
      <c r="B18" s="2" t="s">
        <v>48</v>
      </c>
      <c r="C18" s="2" t="s">
        <v>21</v>
      </c>
      <c r="D18" s="2"/>
      <c r="E18" s="2"/>
      <c r="F18" s="2"/>
      <c r="G18" s="2"/>
      <c r="H18" s="2"/>
      <c r="I18" s="2"/>
      <c r="J18" s="2"/>
      <c r="K18" s="2"/>
      <c r="L18" s="2">
        <v>557</v>
      </c>
      <c r="M18" s="2">
        <v>943</v>
      </c>
      <c r="N18" s="2">
        <v>278</v>
      </c>
      <c r="O18" s="2">
        <v>543</v>
      </c>
      <c r="P18" s="2">
        <v>278</v>
      </c>
      <c r="Q18" s="2">
        <v>277</v>
      </c>
      <c r="R18" s="2">
        <v>543</v>
      </c>
      <c r="S18" s="2">
        <v>517</v>
      </c>
      <c r="T18" s="9" t="s">
        <v>74</v>
      </c>
      <c r="U18" s="9" t="s">
        <v>74</v>
      </c>
    </row>
    <row r="19" spans="1:21">
      <c r="A19" s="6" t="s">
        <v>8</v>
      </c>
      <c r="B19" s="2" t="s">
        <v>56</v>
      </c>
      <c r="C19" s="2" t="s">
        <v>30</v>
      </c>
      <c r="D19" s="2"/>
      <c r="E19" s="2"/>
      <c r="F19" s="2"/>
      <c r="G19" s="2"/>
      <c r="H19" s="2"/>
      <c r="I19" s="2"/>
      <c r="J19" s="2"/>
      <c r="K19" s="2"/>
      <c r="L19" s="2">
        <v>558</v>
      </c>
      <c r="M19" s="2">
        <v>952</v>
      </c>
      <c r="N19" s="2">
        <v>285</v>
      </c>
      <c r="O19" s="2">
        <v>555</v>
      </c>
      <c r="P19" s="2">
        <v>285</v>
      </c>
      <c r="Q19" s="2">
        <v>280</v>
      </c>
      <c r="R19" s="2">
        <v>555</v>
      </c>
      <c r="S19" s="2">
        <v>526</v>
      </c>
      <c r="T19" s="2">
        <v>7</v>
      </c>
      <c r="U19" s="2">
        <v>23</v>
      </c>
    </row>
    <row r="20" spans="1:21">
      <c r="A20" s="3" t="s">
        <v>20</v>
      </c>
      <c r="B20" s="2" t="s">
        <v>35</v>
      </c>
      <c r="C20" s="2" t="s">
        <v>21</v>
      </c>
      <c r="D20" s="2"/>
      <c r="E20" s="2"/>
      <c r="F20" s="2"/>
      <c r="G20" s="2"/>
      <c r="H20" s="2"/>
      <c r="I20" s="2"/>
      <c r="J20" s="2"/>
      <c r="K20" s="2"/>
      <c r="L20" s="2">
        <v>1</v>
      </c>
      <c r="M20" s="2">
        <v>3</v>
      </c>
      <c r="N20" s="2">
        <v>0</v>
      </c>
      <c r="O20" s="2">
        <v>2</v>
      </c>
      <c r="P20" s="2">
        <v>0</v>
      </c>
      <c r="Q20" s="2">
        <v>0</v>
      </c>
      <c r="R20" s="2">
        <v>2</v>
      </c>
      <c r="S20" s="2">
        <v>2</v>
      </c>
      <c r="T20" s="9" t="s">
        <v>74</v>
      </c>
      <c r="U20" s="9" t="s">
        <v>74</v>
      </c>
    </row>
    <row r="21" spans="1:21">
      <c r="A21" s="3" t="s">
        <v>22</v>
      </c>
      <c r="B21" s="5" t="s">
        <v>34</v>
      </c>
      <c r="C21" s="5" t="s">
        <v>32</v>
      </c>
      <c r="D21" s="2"/>
      <c r="E21" s="2"/>
      <c r="F21" s="2"/>
      <c r="G21" s="2"/>
      <c r="H21" s="2"/>
      <c r="I21" s="2"/>
      <c r="J21" s="2"/>
      <c r="K21" s="2"/>
      <c r="L21" s="2">
        <v>81</v>
      </c>
      <c r="M21" s="2">
        <v>170</v>
      </c>
      <c r="N21" s="2">
        <v>14</v>
      </c>
      <c r="O21" s="2">
        <v>50</v>
      </c>
      <c r="P21" s="2">
        <v>14</v>
      </c>
      <c r="Q21" s="2">
        <v>14</v>
      </c>
      <c r="R21" s="2">
        <v>50</v>
      </c>
      <c r="S21" s="2">
        <v>42</v>
      </c>
      <c r="T21" s="9" t="s">
        <v>74</v>
      </c>
      <c r="U21" s="9" t="s">
        <v>74</v>
      </c>
    </row>
    <row r="22" spans="1:21">
      <c r="A22" s="3" t="s">
        <v>3</v>
      </c>
      <c r="B22" s="2" t="s">
        <v>47</v>
      </c>
      <c r="C22" s="2" t="s">
        <v>21</v>
      </c>
      <c r="D22" s="2"/>
      <c r="E22" s="2"/>
      <c r="F22" s="2"/>
      <c r="G22" s="2"/>
      <c r="H22" s="2"/>
      <c r="I22" s="2"/>
      <c r="J22" s="2"/>
      <c r="K22" s="2"/>
      <c r="L22" s="2">
        <v>0</v>
      </c>
      <c r="M22" s="2">
        <v>10</v>
      </c>
      <c r="N22" s="2">
        <v>0</v>
      </c>
      <c r="O22" s="2">
        <v>6</v>
      </c>
      <c r="P22" s="2">
        <v>0</v>
      </c>
      <c r="Q22" s="2">
        <v>0</v>
      </c>
      <c r="R22" s="2">
        <v>6</v>
      </c>
      <c r="S22" s="2">
        <v>6</v>
      </c>
      <c r="T22" s="9" t="s">
        <v>74</v>
      </c>
      <c r="U22" s="9" t="s">
        <v>74</v>
      </c>
    </row>
    <row r="23" spans="1:21">
      <c r="A23" s="3" t="s">
        <v>4</v>
      </c>
      <c r="B23" s="2" t="s">
        <v>46</v>
      </c>
      <c r="C23" s="2" t="s">
        <v>21</v>
      </c>
      <c r="D23" s="2"/>
      <c r="E23" s="2"/>
      <c r="F23" s="2"/>
      <c r="G23" s="2"/>
      <c r="H23" s="2"/>
      <c r="I23" s="2"/>
      <c r="J23" s="2"/>
      <c r="K23" s="2"/>
      <c r="L23" s="2">
        <v>0</v>
      </c>
      <c r="M23" s="2">
        <v>11</v>
      </c>
      <c r="N23" s="2">
        <v>0</v>
      </c>
      <c r="O23" s="2">
        <v>9</v>
      </c>
      <c r="P23" s="2">
        <v>0</v>
      </c>
      <c r="Q23" s="2">
        <v>0</v>
      </c>
      <c r="R23" s="2">
        <v>9</v>
      </c>
      <c r="S23" s="2">
        <v>9</v>
      </c>
      <c r="T23" s="9" t="s">
        <v>74</v>
      </c>
      <c r="U23" s="9" t="s">
        <v>74</v>
      </c>
    </row>
    <row r="24" spans="1:21">
      <c r="A24" s="3" t="s">
        <v>24</v>
      </c>
      <c r="B24" s="2" t="s">
        <v>38</v>
      </c>
      <c r="C24" s="2" t="s">
        <v>21</v>
      </c>
      <c r="D24" s="2"/>
      <c r="E24" s="2"/>
      <c r="F24" s="2"/>
      <c r="G24" s="2"/>
      <c r="H24" s="2"/>
      <c r="I24" s="2"/>
      <c r="J24" s="2"/>
      <c r="K24" s="2"/>
      <c r="L24" s="2">
        <v>7</v>
      </c>
      <c r="M24" s="2">
        <v>46</v>
      </c>
      <c r="N24" s="2">
        <v>7</v>
      </c>
      <c r="O24" s="2">
        <v>46</v>
      </c>
      <c r="P24" s="2">
        <v>7</v>
      </c>
      <c r="Q24" s="2">
        <v>7</v>
      </c>
      <c r="R24" s="2">
        <v>46</v>
      </c>
      <c r="S24" s="2">
        <v>46</v>
      </c>
      <c r="T24" s="9" t="s">
        <v>74</v>
      </c>
      <c r="U24" s="9" t="s">
        <v>74</v>
      </c>
    </row>
    <row r="25" spans="1:21">
      <c r="P25">
        <f>MAX(P2:P24)</f>
        <v>4955</v>
      </c>
      <c r="Q25">
        <f>MAX(Q2:Q24)</f>
        <v>4900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Ewart</dc:creator>
  <cp:lastModifiedBy>Microsoft Office User</cp:lastModifiedBy>
  <dcterms:created xsi:type="dcterms:W3CDTF">2024-08-27T05:26:08Z</dcterms:created>
  <dcterms:modified xsi:type="dcterms:W3CDTF">2025-07-20T17:02:57Z</dcterms:modified>
</cp:coreProperties>
</file>