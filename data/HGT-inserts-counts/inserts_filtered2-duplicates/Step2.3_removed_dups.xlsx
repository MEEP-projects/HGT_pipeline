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% threshold" sheetId="1" r:id="rId4"/>
  </sheets>
  <definedNames/>
  <calcPr/>
</workbook>
</file>

<file path=xl/sharedStrings.xml><?xml version="1.0" encoding="utf-8"?>
<sst xmlns="http://schemas.openxmlformats.org/spreadsheetml/2006/main" count="33" uniqueCount="33">
  <si>
    <t>Genome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</si>
  <si>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</si>
  <si>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</si>
  <si>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</si>
  <si>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</si>
  <si>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</si>
  <si>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</si>
  <si>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</si>
  <si>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</si>
  <si>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Total</t>
  </si>
  <si>
    <t>P-sloanei_Z001</t>
  </si>
  <si>
    <t>M-lithgowae_Z004</t>
  </si>
  <si>
    <t>P-tryoni-tryoni_Z005</t>
  </si>
  <si>
    <t>P-gigantea_Z010</t>
  </si>
  <si>
    <t>P-tryoni-tegminifera_Z011</t>
  </si>
  <si>
    <t>P-tryoni-tryoni-Eungella_Z012</t>
  </si>
  <si>
    <t>N-dahmsi_Z014</t>
  </si>
  <si>
    <t>P-lata_M1</t>
  </si>
  <si>
    <t>P-cribrata</t>
  </si>
  <si>
    <t>G-dilatatus</t>
  </si>
  <si>
    <t>N-hanni</t>
  </si>
  <si>
    <t>B-germanica-v2</t>
  </si>
  <si>
    <t>D-punctata</t>
  </si>
  <si>
    <t>Z-nevadensis-v1</t>
  </si>
  <si>
    <t>Z-nevadensis-v2</t>
  </si>
  <si>
    <t>C-formosanus</t>
  </si>
  <si>
    <t>C-secundus</t>
  </si>
  <si>
    <t>R-lucifugus</t>
  </si>
  <si>
    <t>B-germanica-v1</t>
  </si>
  <si>
    <t>P-americana-v1</t>
  </si>
  <si>
    <t>P-americana-v2</t>
  </si>
  <si>
    <t>P-americana-v3</t>
  </si>
  <si>
    <t>P-americana-v4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</si>
</sst>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100.0</v>
      </c>
      <c r="C2" s="3">
        <v>27.0</v>
      </c>
      <c r="D2" s="3">
        <v>9.0</v>
      </c>
      <c r="E2" s="3">
        <v>4.0</v>
      </c>
      <c r="F2" s="3">
        <v>0.0</v>
      </c>
      <c r="J2" s="4">
        <f t="shared" ref="J2:J24" si="1">SUM(B2:I2)</f>
        <v>140</v>
      </c>
    </row>
    <row r="3">
      <c r="A3" s="2" t="s">
        <v>11</v>
      </c>
      <c r="B3" s="3">
        <v>60.0</v>
      </c>
      <c r="C3" s="3">
        <v>15.0</v>
      </c>
      <c r="D3" s="3">
        <v>6.0</v>
      </c>
      <c r="E3" s="3">
        <v>2.0</v>
      </c>
      <c r="F3" s="3">
        <v>0.0</v>
      </c>
      <c r="J3" s="4">
        <f t="shared" si="1"/>
        <v>83</v>
      </c>
    </row>
    <row r="4">
      <c r="A4" s="2" t="s">
        <v>12</v>
      </c>
      <c r="B4" s="3">
        <v>97.0</v>
      </c>
      <c r="C4" s="3">
        <v>25.0</v>
      </c>
      <c r="D4" s="3">
        <v>4.0</v>
      </c>
      <c r="E4" s="3">
        <v>2.0</v>
      </c>
      <c r="F4" s="3">
        <v>0.0</v>
      </c>
      <c r="J4" s="4">
        <f t="shared" si="1"/>
        <v>128</v>
      </c>
    </row>
    <row r="5">
      <c r="A5" s="2" t="s">
        <v>13</v>
      </c>
      <c r="B5" s="3">
        <v>35.0</v>
      </c>
      <c r="C5" s="3">
        <v>1.0</v>
      </c>
      <c r="D5" s="3">
        <v>0.0</v>
      </c>
      <c r="J5" s="4">
        <f t="shared" si="1"/>
        <v>36</v>
      </c>
    </row>
    <row r="6">
      <c r="A6" s="2" t="s">
        <v>14</v>
      </c>
      <c r="B6" s="3">
        <v>31.0</v>
      </c>
      <c r="C6" s="3">
        <v>4.0</v>
      </c>
      <c r="D6" s="3">
        <v>1.0</v>
      </c>
      <c r="E6" s="3">
        <v>0.0</v>
      </c>
      <c r="J6" s="4">
        <f t="shared" si="1"/>
        <v>36</v>
      </c>
    </row>
    <row r="7">
      <c r="A7" s="2" t="s">
        <v>15</v>
      </c>
      <c r="B7" s="3">
        <v>51.0</v>
      </c>
      <c r="C7" s="3">
        <v>7.0</v>
      </c>
      <c r="D7" s="3">
        <v>1.0</v>
      </c>
      <c r="E7" s="3">
        <v>1.0</v>
      </c>
      <c r="F7" s="3">
        <v>0.0</v>
      </c>
      <c r="J7" s="4">
        <f t="shared" si="1"/>
        <v>60</v>
      </c>
    </row>
    <row r="8">
      <c r="A8" s="2" t="s">
        <v>16</v>
      </c>
      <c r="B8" s="3">
        <v>52.0</v>
      </c>
      <c r="C8" s="3">
        <v>18.0</v>
      </c>
      <c r="D8" s="3">
        <v>5.0</v>
      </c>
      <c r="E8" s="3">
        <v>4.0</v>
      </c>
      <c r="F8" s="3">
        <v>2.0</v>
      </c>
      <c r="G8" s="3">
        <v>1.0</v>
      </c>
      <c r="H8" s="3">
        <v>1.0</v>
      </c>
      <c r="I8" s="3">
        <v>0.0</v>
      </c>
      <c r="J8" s="4">
        <f t="shared" si="1"/>
        <v>83</v>
      </c>
    </row>
    <row r="9">
      <c r="A9" s="2" t="s">
        <v>17</v>
      </c>
      <c r="B9" s="3">
        <v>31.0</v>
      </c>
      <c r="C9" s="3">
        <v>4.0</v>
      </c>
      <c r="D9" s="3">
        <v>0.0</v>
      </c>
      <c r="J9" s="4">
        <f t="shared" si="1"/>
        <v>35</v>
      </c>
    </row>
    <row r="10">
      <c r="A10" s="2" t="s">
        <v>18</v>
      </c>
      <c r="B10" s="3">
        <v>86.0</v>
      </c>
      <c r="C10" s="3">
        <v>6.0</v>
      </c>
      <c r="D10" s="3">
        <v>1.0</v>
      </c>
      <c r="E10" s="3">
        <v>0.0</v>
      </c>
      <c r="J10" s="4">
        <f t="shared" si="1"/>
        <v>93</v>
      </c>
    </row>
    <row r="11">
      <c r="A11" s="2" t="s">
        <v>19</v>
      </c>
      <c r="B11" s="3">
        <v>121.0</v>
      </c>
      <c r="C11" s="3">
        <v>7.0</v>
      </c>
      <c r="D11" s="3">
        <v>1.0</v>
      </c>
      <c r="E11" s="3">
        <v>0.0</v>
      </c>
      <c r="J11" s="4">
        <f t="shared" si="1"/>
        <v>129</v>
      </c>
    </row>
    <row r="12">
      <c r="A12" s="2" t="s">
        <v>20</v>
      </c>
      <c r="B12" s="3">
        <v>50.0</v>
      </c>
      <c r="C12" s="3">
        <v>2.0</v>
      </c>
      <c r="D12" s="3">
        <v>0.0</v>
      </c>
      <c r="J12" s="4">
        <f t="shared" si="1"/>
        <v>52</v>
      </c>
    </row>
    <row r="13">
      <c r="A13" s="2" t="s">
        <v>21</v>
      </c>
      <c r="B13" s="3">
        <v>8.0</v>
      </c>
      <c r="C13" s="3">
        <v>5.0</v>
      </c>
      <c r="D13" s="3">
        <v>2.0</v>
      </c>
      <c r="E13" s="3">
        <v>1.0</v>
      </c>
      <c r="F13" s="3">
        <v>0.0</v>
      </c>
      <c r="J13" s="4">
        <f t="shared" si="1"/>
        <v>16</v>
      </c>
    </row>
    <row r="14">
      <c r="A14" s="2" t="s">
        <v>22</v>
      </c>
      <c r="B14" s="3">
        <v>35.0</v>
      </c>
      <c r="C14" s="3">
        <v>4.0</v>
      </c>
      <c r="D14" s="3">
        <v>0.0</v>
      </c>
      <c r="J14" s="4">
        <f t="shared" si="1"/>
        <v>39</v>
      </c>
    </row>
    <row r="15">
      <c r="A15" s="2" t="s">
        <v>23</v>
      </c>
      <c r="B15" s="3">
        <v>0.0</v>
      </c>
      <c r="J15" s="4">
        <f t="shared" si="1"/>
        <v>0</v>
      </c>
    </row>
    <row r="16">
      <c r="A16" s="2" t="s">
        <v>24</v>
      </c>
      <c r="B16" s="3">
        <v>5.0</v>
      </c>
      <c r="C16" s="3">
        <v>1.0</v>
      </c>
      <c r="D16" s="3">
        <v>0.0</v>
      </c>
      <c r="J16" s="4">
        <f t="shared" si="1"/>
        <v>6</v>
      </c>
    </row>
    <row r="17">
      <c r="A17" s="2" t="s">
        <v>25</v>
      </c>
      <c r="B17" s="3">
        <v>0.0</v>
      </c>
      <c r="J17" s="4">
        <f t="shared" si="1"/>
        <v>0</v>
      </c>
    </row>
    <row r="18">
      <c r="A18" s="2" t="s">
        <v>26</v>
      </c>
      <c r="B18" s="3">
        <v>0.0</v>
      </c>
      <c r="J18" s="4">
        <f t="shared" si="1"/>
        <v>0</v>
      </c>
    </row>
    <row r="19">
      <c r="A19" s="3" t="s">
        <v>27</v>
      </c>
      <c r="B19" s="3">
        <v>0.0</v>
      </c>
      <c r="J19" s="4">
        <f t="shared" si="1"/>
        <v>0</v>
      </c>
    </row>
    <row r="20">
      <c r="A20" s="3" t="s">
        <v>28</v>
      </c>
      <c r="B20" s="3">
        <v>12.0</v>
      </c>
      <c r="C20" s="3">
        <v>5.0</v>
      </c>
      <c r="D20" s="3">
        <v>2.0</v>
      </c>
      <c r="E20" s="3">
        <v>1.0</v>
      </c>
      <c r="F20" s="3">
        <v>0.0</v>
      </c>
      <c r="J20" s="4">
        <f t="shared" si="1"/>
        <v>20</v>
      </c>
    </row>
    <row r="21">
      <c r="A21" s="3" t="s">
        <v>29</v>
      </c>
      <c r="B21" s="3">
        <v>8.0</v>
      </c>
      <c r="C21" s="3">
        <v>2.0</v>
      </c>
      <c r="D21" s="3">
        <v>1.0</v>
      </c>
      <c r="E21" s="3">
        <v>0.0</v>
      </c>
      <c r="J21" s="4">
        <f t="shared" si="1"/>
        <v>11</v>
      </c>
    </row>
    <row r="22">
      <c r="A22" s="3" t="s">
        <v>30</v>
      </c>
      <c r="B22" s="3">
        <v>2.0</v>
      </c>
      <c r="C22" s="3">
        <v>0.0</v>
      </c>
      <c r="J22" s="4">
        <f t="shared" si="1"/>
        <v>2</v>
      </c>
    </row>
    <row r="23">
      <c r="A23" s="3" t="s">
        <v>31</v>
      </c>
      <c r="B23" s="3">
        <v>13.0</v>
      </c>
      <c r="C23" s="3">
        <v>2.0</v>
      </c>
      <c r="D23" s="3">
        <v>2.0</v>
      </c>
      <c r="E23" s="3">
        <v>3.0</v>
      </c>
      <c r="F23" s="3">
        <v>1.0</v>
      </c>
      <c r="G23" s="3">
        <v>1.0</v>
      </c>
      <c r="H23" s="3">
        <v>0.0</v>
      </c>
      <c r="J23" s="4">
        <f t="shared" si="1"/>
        <v>22</v>
      </c>
    </row>
    <row r="24">
      <c r="A24" s="3" t="s">
        <v>32</v>
      </c>
      <c r="B24" s="3">
        <v>11.0</v>
      </c>
      <c r="C24" s="3">
        <v>6.0</v>
      </c>
      <c r="D24" s="3">
        <v>2.0</v>
      </c>
      <c r="E24" s="3">
        <v>1.0</v>
      </c>
      <c r="F24" s="3">
        <v>1.0</v>
      </c>
      <c r="G24" s="3">
        <v>0.0</v>
      </c>
      <c r="J24" s="4">
        <f t="shared" si="1"/>
        <v>21</v>
      </c>
    </row>
  </sheetData>
  <drawing r:id="rId1"/>
</worksheet>
</file>